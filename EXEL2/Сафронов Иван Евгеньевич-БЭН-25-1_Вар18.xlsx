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vans\Downloads\"/>
    </mc:Choice>
  </mc:AlternateContent>
  <xr:revisionPtr revIDLastSave="0" documentId="13_ncr:1_{407A713F-F9FC-42A5-B8BC-21F525A1B9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Исходная таблица" sheetId="1" r:id="rId1"/>
    <sheet name="Лист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D13" i="2"/>
  <c r="C13" i="2"/>
  <c r="B13" i="2"/>
  <c r="D12" i="2"/>
  <c r="C12" i="2"/>
  <c r="B12" i="2"/>
  <c r="D11" i="2"/>
  <c r="C11" i="2"/>
  <c r="B11" i="2"/>
  <c r="D10" i="2"/>
  <c r="C10" i="2"/>
  <c r="B10" i="2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<sst xmlns="http://schemas.openxmlformats.org/spreadsheetml/2006/main" count="218" uniqueCount="30">
  <si>
    <t>Таблица продаж Минеральная вода за Сентябрь-Ноябрь</t>
  </si>
  <si>
    <t>№ п/п</t>
  </si>
  <si>
    <t>Товар (разновидность)</t>
  </si>
  <si>
    <t>Производитель</t>
  </si>
  <si>
    <t>Расфасовка</t>
  </si>
  <si>
    <t>Сентябрь</t>
  </si>
  <si>
    <t>Октябрь</t>
  </si>
  <si>
    <t>Ноябрь</t>
  </si>
  <si>
    <t>Итого количество</t>
  </si>
  <si>
    <t>Итого цена</t>
  </si>
  <si>
    <t>Магниевая</t>
  </si>
  <si>
    <t>Россия</t>
  </si>
  <si>
    <t>0.2 л</t>
  </si>
  <si>
    <t>0.5 л</t>
  </si>
  <si>
    <t>1.0 л</t>
  </si>
  <si>
    <t>1.5 л</t>
  </si>
  <si>
    <t>Китай</t>
  </si>
  <si>
    <t>Германия</t>
  </si>
  <si>
    <t>Беларусь</t>
  </si>
  <si>
    <t>Железистая</t>
  </si>
  <si>
    <t>Кальциевая</t>
  </si>
  <si>
    <t>Натриевая</t>
  </si>
  <si>
    <t>Таблица №2 (Цены)</t>
  </si>
  <si>
    <t>Цена</t>
  </si>
  <si>
    <t>Таблица №3 (Статистика)</t>
  </si>
  <si>
    <t>Расчёт</t>
  </si>
  <si>
    <t>Общее за месяц</t>
  </si>
  <si>
    <t>Среднее за месяц</t>
  </si>
  <si>
    <t>Минимум за период</t>
  </si>
  <si>
    <t>Максимум за 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</si>
</sst>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6"/>
  <sheetViews>
    <sheetView tabSelected="1" workbookViewId="0">
      <selection activeCell="P10" sqref="P10"/>
    </sheetView>
  </sheetViews>
  <sheetFormatPr defaultRowHeight="14.5" x14ac:dyDescent="0.35"/>
  <cols>
    <col min="2" max="4" width="20" customWidth="1"/>
    <col min="9" max="9" width="15" customWidth="1"/>
  </cols>
  <sheetData>
    <row r="1" spans="1:9" ht="18.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43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1">
        <v>1</v>
      </c>
      <c r="B3" s="1" t="s">
        <v>10</v>
      </c>
      <c r="C3" s="1" t="s">
        <v>11</v>
      </c>
      <c r="D3" s="1" t="s">
        <v>12</v>
      </c>
      <c r="E3" s="1">
        <v>18</v>
      </c>
      <c r="F3" s="1">
        <v>15</v>
      </c>
      <c r="G3" s="1">
        <v>69</v>
      </c>
      <c r="H3" s="1">
        <f t="shared" ref="H3:H34" si="0">SUM(E3:G3)</f>
        <v>102</v>
      </c>
      <c r="I3" s="1">
        <f>H3*IF(D3="0.2 л",'Лист 2'!$B$3, IF('Исходная таблица'!D3="0.5 л",'Лист 2'!$B$4, IF('Исходная таблица'!D3="1.0 л",'Лист 2'!$B$5,'Лист 2'!$B$6)))</f>
        <v>511938</v>
      </c>
    </row>
    <row r="4" spans="1:9" x14ac:dyDescent="0.35">
      <c r="A4" s="1">
        <v>2</v>
      </c>
      <c r="B4" s="1" t="s">
        <v>10</v>
      </c>
      <c r="C4" s="1" t="s">
        <v>11</v>
      </c>
      <c r="D4" s="1" t="s">
        <v>13</v>
      </c>
      <c r="E4" s="1">
        <v>24</v>
      </c>
      <c r="F4" s="1">
        <v>80</v>
      </c>
      <c r="G4" s="1">
        <v>65</v>
      </c>
      <c r="H4" s="1">
        <f t="shared" si="0"/>
        <v>169</v>
      </c>
      <c r="I4" s="1">
        <f>H4*IF(D4="0.2 л",'Лист 2'!$B$3, IF('Исходная таблица'!D4="0.5 л",'Лист 2'!$B$4, IF('Исходная таблица'!D4="1.0 л",'Лист 2'!$B$5,'Лист 2'!$B$6)))</f>
        <v>939302</v>
      </c>
    </row>
    <row r="5" spans="1:9" x14ac:dyDescent="0.35">
      <c r="A5" s="1">
        <v>3</v>
      </c>
      <c r="B5" s="1" t="s">
        <v>10</v>
      </c>
      <c r="C5" s="1" t="s">
        <v>11</v>
      </c>
      <c r="D5" s="1" t="s">
        <v>14</v>
      </c>
      <c r="E5" s="1">
        <v>99</v>
      </c>
      <c r="F5" s="1">
        <v>61</v>
      </c>
      <c r="G5" s="1">
        <v>93</v>
      </c>
      <c r="H5" s="1">
        <f t="shared" si="0"/>
        <v>253</v>
      </c>
      <c r="I5" s="1">
        <f>H5*IF(D5="0.2 л",'Лист 2'!$B$3, IF('Исходная таблица'!D5="0.5 л",'Лист 2'!$B$4, IF('Исходная таблица'!D5="1.0 л",'Лист 2'!$B$5,'Лист 2'!$B$6)))</f>
        <v>1312311</v>
      </c>
    </row>
    <row r="6" spans="1:9" x14ac:dyDescent="0.35">
      <c r="A6" s="1">
        <v>4</v>
      </c>
      <c r="B6" s="1" t="s">
        <v>10</v>
      </c>
      <c r="C6" s="1" t="s">
        <v>11</v>
      </c>
      <c r="D6" s="1" t="s">
        <v>15</v>
      </c>
      <c r="E6" s="1">
        <v>75</v>
      </c>
      <c r="F6" s="1">
        <v>76</v>
      </c>
      <c r="G6" s="1">
        <v>48</v>
      </c>
      <c r="H6" s="1">
        <f t="shared" si="0"/>
        <v>199</v>
      </c>
      <c r="I6" s="1">
        <f>H6*IF(D6="0.2 л",'Лист 2'!$B$3, IF('Исходная таблица'!D6="0.5 л",'Лист 2'!$B$4, IF('Исходная таблица'!D6="1.0 л",'Лист 2'!$B$5,'Лист 2'!$B$6)))</f>
        <v>1142658</v>
      </c>
    </row>
    <row r="7" spans="1:9" x14ac:dyDescent="0.35">
      <c r="A7" s="1">
        <v>5</v>
      </c>
      <c r="B7" s="1" t="s">
        <v>10</v>
      </c>
      <c r="C7" s="1" t="s">
        <v>16</v>
      </c>
      <c r="D7" s="1" t="s">
        <v>12</v>
      </c>
      <c r="E7" s="1">
        <v>64</v>
      </c>
      <c r="F7" s="1">
        <v>96</v>
      </c>
      <c r="G7" s="1">
        <v>82</v>
      </c>
      <c r="H7" s="1">
        <f t="shared" si="0"/>
        <v>242</v>
      </c>
      <c r="I7" s="1">
        <f>H7*IF(D7="0.2 л",'Лист 2'!$B$3, IF('Исходная таблица'!D7="0.5 л",'Лист 2'!$B$4, IF('Исходная таблица'!D7="1.0 л",'Лист 2'!$B$5,'Лист 2'!$B$6)))</f>
        <v>1214598</v>
      </c>
    </row>
    <row r="8" spans="1:9" x14ac:dyDescent="0.35">
      <c r="A8" s="1">
        <v>6</v>
      </c>
      <c r="B8" s="1" t="s">
        <v>10</v>
      </c>
      <c r="C8" s="1" t="s">
        <v>16</v>
      </c>
      <c r="D8" s="1" t="s">
        <v>13</v>
      </c>
      <c r="E8" s="1">
        <v>53</v>
      </c>
      <c r="F8" s="1">
        <v>29</v>
      </c>
      <c r="G8" s="1">
        <v>85</v>
      </c>
      <c r="H8" s="1">
        <f t="shared" si="0"/>
        <v>167</v>
      </c>
      <c r="I8" s="1">
        <f>H8*IF(D8="0.2 л",'Лист 2'!$B$3, IF('Исходная таблица'!D8="0.5 л",'Лист 2'!$B$4, IF('Исходная таблица'!D8="1.0 л",'Лист 2'!$B$5,'Лист 2'!$B$6)))</f>
        <v>928186</v>
      </c>
    </row>
    <row r="9" spans="1:9" x14ac:dyDescent="0.35">
      <c r="A9" s="1">
        <v>7</v>
      </c>
      <c r="B9" s="1" t="s">
        <v>10</v>
      </c>
      <c r="C9" s="1" t="s">
        <v>16</v>
      </c>
      <c r="D9" s="1" t="s">
        <v>14</v>
      </c>
      <c r="E9" s="1">
        <v>48</v>
      </c>
      <c r="F9" s="1">
        <v>72</v>
      </c>
      <c r="G9" s="1">
        <v>13</v>
      </c>
      <c r="H9" s="1">
        <f t="shared" si="0"/>
        <v>133</v>
      </c>
      <c r="I9" s="1">
        <f>H9*IF(D9="0.2 л",'Лист 2'!$B$3, IF('Исходная таблица'!D9="0.5 л",'Лист 2'!$B$4, IF('Исходная таблица'!D9="1.0 л",'Лист 2'!$B$5,'Лист 2'!$B$6)))</f>
        <v>689871</v>
      </c>
    </row>
    <row r="10" spans="1:9" x14ac:dyDescent="0.35">
      <c r="A10" s="1">
        <v>8</v>
      </c>
      <c r="B10" s="1" t="s">
        <v>10</v>
      </c>
      <c r="C10" s="1" t="s">
        <v>16</v>
      </c>
      <c r="D10" s="1" t="s">
        <v>15</v>
      </c>
      <c r="E10" s="1">
        <v>76</v>
      </c>
      <c r="F10" s="1">
        <v>76</v>
      </c>
      <c r="G10" s="1">
        <v>90</v>
      </c>
      <c r="H10" s="1">
        <f t="shared" si="0"/>
        <v>242</v>
      </c>
      <c r="I10" s="1">
        <f>H10*IF(D10="0.2 л",'Лист 2'!$B$3, IF('Исходная таблица'!D10="0.5 л",'Лист 2'!$B$4, IF('Исходная таблица'!D10="1.0 л",'Лист 2'!$B$5,'Лист 2'!$B$6)))</f>
        <v>1389564</v>
      </c>
    </row>
    <row r="11" spans="1:9" x14ac:dyDescent="0.35">
      <c r="A11" s="1">
        <v>9</v>
      </c>
      <c r="B11" s="1" t="s">
        <v>10</v>
      </c>
      <c r="C11" s="1" t="s">
        <v>17</v>
      </c>
      <c r="D11" s="1" t="s">
        <v>12</v>
      </c>
      <c r="E11" s="1">
        <v>10</v>
      </c>
      <c r="F11" s="1">
        <v>96</v>
      </c>
      <c r="G11" s="1">
        <v>60</v>
      </c>
      <c r="H11" s="1">
        <f t="shared" si="0"/>
        <v>166</v>
      </c>
      <c r="I11" s="1">
        <f>H11*IF(D11="0.2 л",'Лист 2'!$B$3, IF('Исходная таблица'!D11="0.5 л",'Лист 2'!$B$4, IF('Исходная таблица'!D11="1.0 л",'Лист 2'!$B$5,'Лист 2'!$B$6)))</f>
        <v>833154</v>
      </c>
    </row>
    <row r="12" spans="1:9" x14ac:dyDescent="0.35">
      <c r="A12" s="1">
        <v>10</v>
      </c>
      <c r="B12" s="1" t="s">
        <v>10</v>
      </c>
      <c r="C12" s="1" t="s">
        <v>17</v>
      </c>
      <c r="D12" s="1" t="s">
        <v>13</v>
      </c>
      <c r="E12" s="1">
        <v>7</v>
      </c>
      <c r="F12" s="1">
        <v>25</v>
      </c>
      <c r="G12" s="1">
        <v>93</v>
      </c>
      <c r="H12" s="1">
        <f t="shared" si="0"/>
        <v>125</v>
      </c>
      <c r="I12" s="1">
        <f>H12*IF(D12="0.2 л",'Лист 2'!$B$3, IF('Исходная таблица'!D12="0.5 л",'Лист 2'!$B$4, IF('Исходная таблица'!D12="1.0 л",'Лист 2'!$B$5,'Лист 2'!$B$6)))</f>
        <v>694750</v>
      </c>
    </row>
    <row r="13" spans="1:9" x14ac:dyDescent="0.35">
      <c r="A13" s="1">
        <v>11</v>
      </c>
      <c r="B13" s="1" t="s">
        <v>10</v>
      </c>
      <c r="C13" s="1" t="s">
        <v>17</v>
      </c>
      <c r="D13" s="1" t="s">
        <v>14</v>
      </c>
      <c r="E13" s="1">
        <v>96</v>
      </c>
      <c r="F13" s="1">
        <v>30</v>
      </c>
      <c r="G13" s="1">
        <v>84</v>
      </c>
      <c r="H13" s="1">
        <f t="shared" si="0"/>
        <v>210</v>
      </c>
      <c r="I13" s="1">
        <f>H13*IF(D13="0.2 л",'Лист 2'!$B$3, IF('Исходная таблица'!D13="0.5 л",'Лист 2'!$B$4, IF('Исходная таблица'!D13="1.0 л",'Лист 2'!$B$5,'Лист 2'!$B$6)))</f>
        <v>1089270</v>
      </c>
    </row>
    <row r="14" spans="1:9" x14ac:dyDescent="0.35">
      <c r="A14" s="1">
        <v>12</v>
      </c>
      <c r="B14" s="1" t="s">
        <v>10</v>
      </c>
      <c r="C14" s="1" t="s">
        <v>17</v>
      </c>
      <c r="D14" s="1" t="s">
        <v>15</v>
      </c>
      <c r="E14" s="1">
        <v>77</v>
      </c>
      <c r="F14" s="1">
        <v>82</v>
      </c>
      <c r="G14" s="1">
        <v>85</v>
      </c>
      <c r="H14" s="1">
        <f t="shared" si="0"/>
        <v>244</v>
      </c>
      <c r="I14" s="1">
        <f>H14*IF(D14="0.2 л",'Лист 2'!$B$3, IF('Исходная таблица'!D14="0.5 л",'Лист 2'!$B$4, IF('Исходная таблица'!D14="1.0 л",'Лист 2'!$B$5,'Лист 2'!$B$6)))</f>
        <v>1401048</v>
      </c>
    </row>
    <row r="15" spans="1:9" x14ac:dyDescent="0.35">
      <c r="A15" s="1">
        <v>13</v>
      </c>
      <c r="B15" s="1" t="s">
        <v>10</v>
      </c>
      <c r="C15" s="1" t="s">
        <v>18</v>
      </c>
      <c r="D15" s="1" t="s">
        <v>12</v>
      </c>
      <c r="E15" s="1">
        <v>21</v>
      </c>
      <c r="F15" s="1">
        <v>81</v>
      </c>
      <c r="G15" s="1">
        <v>21</v>
      </c>
      <c r="H15" s="1">
        <f t="shared" si="0"/>
        <v>123</v>
      </c>
      <c r="I15" s="1">
        <f>H15*IF(D15="0.2 л",'Лист 2'!$B$3, IF('Исходная таблица'!D15="0.5 л",'Лист 2'!$B$4, IF('Исходная таблица'!D15="1.0 л",'Лист 2'!$B$5,'Лист 2'!$B$6)))</f>
        <v>617337</v>
      </c>
    </row>
    <row r="16" spans="1:9" x14ac:dyDescent="0.35">
      <c r="A16" s="1">
        <v>14</v>
      </c>
      <c r="B16" s="1" t="s">
        <v>10</v>
      </c>
      <c r="C16" s="1" t="s">
        <v>18</v>
      </c>
      <c r="D16" s="1" t="s">
        <v>13</v>
      </c>
      <c r="E16" s="1">
        <v>52</v>
      </c>
      <c r="F16" s="1">
        <v>36</v>
      </c>
      <c r="G16" s="1">
        <v>9</v>
      </c>
      <c r="H16" s="1">
        <f t="shared" si="0"/>
        <v>97</v>
      </c>
      <c r="I16" s="1">
        <f>H16*IF(D16="0.2 л",'Лист 2'!$B$3, IF('Исходная таблица'!D16="0.5 л",'Лист 2'!$B$4, IF('Исходная таблица'!D16="1.0 л",'Лист 2'!$B$5,'Лист 2'!$B$6)))</f>
        <v>539126</v>
      </c>
    </row>
    <row r="17" spans="1:9" x14ac:dyDescent="0.35">
      <c r="A17" s="1">
        <v>15</v>
      </c>
      <c r="B17" s="1" t="s">
        <v>10</v>
      </c>
      <c r="C17" s="1" t="s">
        <v>18</v>
      </c>
      <c r="D17" s="1" t="s">
        <v>14</v>
      </c>
      <c r="E17" s="1">
        <v>63</v>
      </c>
      <c r="F17" s="1">
        <v>70</v>
      </c>
      <c r="G17" s="1">
        <v>4</v>
      </c>
      <c r="H17" s="1">
        <f t="shared" si="0"/>
        <v>137</v>
      </c>
      <c r="I17" s="1">
        <f>H17*IF(D17="0.2 л",'Лист 2'!$B$3, IF('Исходная таблица'!D17="0.5 л",'Лист 2'!$B$4, IF('Исходная таблица'!D17="1.0 л",'Лист 2'!$B$5,'Лист 2'!$B$6)))</f>
        <v>710619</v>
      </c>
    </row>
    <row r="18" spans="1:9" x14ac:dyDescent="0.35">
      <c r="A18" s="1">
        <v>16</v>
      </c>
      <c r="B18" s="1" t="s">
        <v>10</v>
      </c>
      <c r="C18" s="1" t="s">
        <v>18</v>
      </c>
      <c r="D18" s="1" t="s">
        <v>15</v>
      </c>
      <c r="E18" s="1">
        <v>11</v>
      </c>
      <c r="F18" s="1">
        <v>71</v>
      </c>
      <c r="G18" s="1">
        <v>32</v>
      </c>
      <c r="H18" s="1">
        <f t="shared" si="0"/>
        <v>114</v>
      </c>
      <c r="I18" s="1">
        <f>H18*IF(D18="0.2 л",'Лист 2'!$B$3, IF('Исходная таблица'!D18="0.5 л",'Лист 2'!$B$4, IF('Исходная таблица'!D18="1.0 л",'Лист 2'!$B$5,'Лист 2'!$B$6)))</f>
        <v>654588</v>
      </c>
    </row>
    <row r="19" spans="1:9" x14ac:dyDescent="0.35">
      <c r="A19" s="1">
        <v>17</v>
      </c>
      <c r="B19" s="1" t="s">
        <v>19</v>
      </c>
      <c r="C19" s="1" t="s">
        <v>11</v>
      </c>
      <c r="D19" s="1" t="s">
        <v>12</v>
      </c>
      <c r="E19" s="1">
        <v>40</v>
      </c>
      <c r="F19" s="1">
        <v>68</v>
      </c>
      <c r="G19" s="1">
        <v>35</v>
      </c>
      <c r="H19" s="1">
        <f t="shared" si="0"/>
        <v>143</v>
      </c>
      <c r="I19" s="1">
        <f>H19*IF(D19="0.2 л",'Лист 2'!$B$3, IF('Исходная таблица'!D19="0.5 л",'Лист 2'!$B$4, IF('Исходная таблица'!D19="1.0 л",'Лист 2'!$B$5,'Лист 2'!$B$6)))</f>
        <v>717717</v>
      </c>
    </row>
    <row r="20" spans="1:9" x14ac:dyDescent="0.35">
      <c r="A20" s="1">
        <v>18</v>
      </c>
      <c r="B20" s="1" t="s">
        <v>19</v>
      </c>
      <c r="C20" s="1" t="s">
        <v>11</v>
      </c>
      <c r="D20" s="1" t="s">
        <v>13</v>
      </c>
      <c r="E20" s="1">
        <v>38</v>
      </c>
      <c r="F20" s="1">
        <v>35</v>
      </c>
      <c r="G20" s="1">
        <v>97</v>
      </c>
      <c r="H20" s="1">
        <f t="shared" si="0"/>
        <v>170</v>
      </c>
      <c r="I20" s="1">
        <f>H20*IF(D20="0.2 л",'Лист 2'!$B$3, IF('Исходная таблица'!D20="0.5 л",'Лист 2'!$B$4, IF('Исходная таблица'!D20="1.0 л",'Лист 2'!$B$5,'Лист 2'!$B$6)))</f>
        <v>944860</v>
      </c>
    </row>
    <row r="21" spans="1:9" x14ac:dyDescent="0.35">
      <c r="A21" s="1">
        <v>19</v>
      </c>
      <c r="B21" s="1" t="s">
        <v>19</v>
      </c>
      <c r="C21" s="1" t="s">
        <v>11</v>
      </c>
      <c r="D21" s="1" t="s">
        <v>14</v>
      </c>
      <c r="E21" s="1">
        <v>53</v>
      </c>
      <c r="F21" s="1">
        <v>14</v>
      </c>
      <c r="G21" s="1">
        <v>41</v>
      </c>
      <c r="H21" s="1">
        <f t="shared" si="0"/>
        <v>108</v>
      </c>
      <c r="I21" s="1">
        <f>H21*IF(D21="0.2 л",'Лист 2'!$B$3, IF('Исходная таблица'!D21="0.5 л",'Лист 2'!$B$4, IF('Исходная таблица'!D21="1.0 л",'Лист 2'!$B$5,'Лист 2'!$B$6)))</f>
        <v>560196</v>
      </c>
    </row>
    <row r="22" spans="1:9" x14ac:dyDescent="0.35">
      <c r="A22" s="1">
        <v>20</v>
      </c>
      <c r="B22" s="1" t="s">
        <v>19</v>
      </c>
      <c r="C22" s="1" t="s">
        <v>11</v>
      </c>
      <c r="D22" s="1" t="s">
        <v>15</v>
      </c>
      <c r="E22" s="1">
        <v>44</v>
      </c>
      <c r="F22" s="1">
        <v>57</v>
      </c>
      <c r="G22" s="1">
        <v>2</v>
      </c>
      <c r="H22" s="1">
        <f t="shared" si="0"/>
        <v>103</v>
      </c>
      <c r="I22" s="1">
        <f>H22*IF(D22="0.2 л",'Лист 2'!$B$3, IF('Исходная таблица'!D22="0.5 л",'Лист 2'!$B$4, IF('Исходная таблица'!D22="1.0 л",'Лист 2'!$B$5,'Лист 2'!$B$6)))</f>
        <v>591426</v>
      </c>
    </row>
    <row r="23" spans="1:9" x14ac:dyDescent="0.35">
      <c r="A23" s="1">
        <v>21</v>
      </c>
      <c r="B23" s="1" t="s">
        <v>19</v>
      </c>
      <c r="C23" s="1" t="s">
        <v>16</v>
      </c>
      <c r="D23" s="1" t="s">
        <v>12</v>
      </c>
      <c r="E23" s="1">
        <v>61</v>
      </c>
      <c r="F23" s="1">
        <v>40</v>
      </c>
      <c r="G23" s="1">
        <v>2</v>
      </c>
      <c r="H23" s="1">
        <f t="shared" si="0"/>
        <v>103</v>
      </c>
      <c r="I23" s="1">
        <f>H23*IF(D23="0.2 л",'Лист 2'!$B$3, IF('Исходная таблица'!D23="0.5 л",'Лист 2'!$B$4, IF('Исходная таблица'!D23="1.0 л",'Лист 2'!$B$5,'Лист 2'!$B$6)))</f>
        <v>516957</v>
      </c>
    </row>
    <row r="24" spans="1:9" x14ac:dyDescent="0.35">
      <c r="A24" s="1">
        <v>22</v>
      </c>
      <c r="B24" s="1" t="s">
        <v>19</v>
      </c>
      <c r="C24" s="1" t="s">
        <v>16</v>
      </c>
      <c r="D24" s="1" t="s">
        <v>13</v>
      </c>
      <c r="E24" s="1">
        <v>3</v>
      </c>
      <c r="F24" s="1">
        <v>48</v>
      </c>
      <c r="G24" s="1">
        <v>13</v>
      </c>
      <c r="H24" s="1">
        <f t="shared" si="0"/>
        <v>64</v>
      </c>
      <c r="I24" s="1">
        <f>H24*IF(D24="0.2 л",'Лист 2'!$B$3, IF('Исходная таблица'!D24="0.5 л",'Лист 2'!$B$4, IF('Исходная таблица'!D24="1.0 л",'Лист 2'!$B$5,'Лист 2'!$B$6)))</f>
        <v>355712</v>
      </c>
    </row>
    <row r="25" spans="1:9" x14ac:dyDescent="0.35">
      <c r="A25" s="1">
        <v>23</v>
      </c>
      <c r="B25" s="1" t="s">
        <v>19</v>
      </c>
      <c r="C25" s="1" t="s">
        <v>16</v>
      </c>
      <c r="D25" s="1" t="s">
        <v>14</v>
      </c>
      <c r="E25" s="1">
        <v>96</v>
      </c>
      <c r="F25" s="1">
        <v>55</v>
      </c>
      <c r="G25" s="1">
        <v>43</v>
      </c>
      <c r="H25" s="1">
        <f t="shared" si="0"/>
        <v>194</v>
      </c>
      <c r="I25" s="1">
        <f>H25*IF(D25="0.2 л",'Лист 2'!$B$3, IF('Исходная таблица'!D25="0.5 л",'Лист 2'!$B$4, IF('Исходная таблица'!D25="1.0 л",'Лист 2'!$B$5,'Лист 2'!$B$6)))</f>
        <v>1006278</v>
      </c>
    </row>
    <row r="26" spans="1:9" x14ac:dyDescent="0.35">
      <c r="A26" s="1">
        <v>24</v>
      </c>
      <c r="B26" s="1" t="s">
        <v>19</v>
      </c>
      <c r="C26" s="1" t="s">
        <v>16</v>
      </c>
      <c r="D26" s="1" t="s">
        <v>15</v>
      </c>
      <c r="E26" s="1">
        <v>75</v>
      </c>
      <c r="F26" s="1">
        <v>73</v>
      </c>
      <c r="G26" s="1">
        <v>58</v>
      </c>
      <c r="H26" s="1">
        <f t="shared" si="0"/>
        <v>206</v>
      </c>
      <c r="I26" s="1">
        <f>H26*IF(D26="0.2 л",'Лист 2'!$B$3, IF('Исходная таблица'!D26="0.5 л",'Лист 2'!$B$4, IF('Исходная таблица'!D26="1.0 л",'Лист 2'!$B$5,'Лист 2'!$B$6)))</f>
        <v>1182852</v>
      </c>
    </row>
    <row r="27" spans="1:9" x14ac:dyDescent="0.35">
      <c r="A27" s="1">
        <v>25</v>
      </c>
      <c r="B27" s="1" t="s">
        <v>19</v>
      </c>
      <c r="C27" s="1" t="s">
        <v>17</v>
      </c>
      <c r="D27" s="1" t="s">
        <v>12</v>
      </c>
      <c r="E27" s="1">
        <v>95</v>
      </c>
      <c r="F27" s="1">
        <v>75</v>
      </c>
      <c r="G27" s="1">
        <v>22</v>
      </c>
      <c r="H27" s="1">
        <f t="shared" si="0"/>
        <v>192</v>
      </c>
      <c r="I27" s="1">
        <f>H27*IF(D27="0.2 л",'Лист 2'!$B$3, IF('Исходная таблица'!D27="0.5 л",'Лист 2'!$B$4, IF('Исходная таблица'!D27="1.0 л",'Лист 2'!$B$5,'Лист 2'!$B$6)))</f>
        <v>963648</v>
      </c>
    </row>
    <row r="28" spans="1:9" x14ac:dyDescent="0.35">
      <c r="A28" s="1">
        <v>26</v>
      </c>
      <c r="B28" s="1" t="s">
        <v>19</v>
      </c>
      <c r="C28" s="1" t="s">
        <v>17</v>
      </c>
      <c r="D28" s="1" t="s">
        <v>13</v>
      </c>
      <c r="E28" s="1">
        <v>57</v>
      </c>
      <c r="F28" s="1">
        <v>92</v>
      </c>
      <c r="G28" s="1">
        <v>18</v>
      </c>
      <c r="H28" s="1">
        <f t="shared" si="0"/>
        <v>167</v>
      </c>
      <c r="I28" s="1">
        <f>H28*IF(D28="0.2 л",'Лист 2'!$B$3, IF('Исходная таблица'!D28="0.5 л",'Лист 2'!$B$4, IF('Исходная таблица'!D28="1.0 л",'Лист 2'!$B$5,'Лист 2'!$B$6)))</f>
        <v>928186</v>
      </c>
    </row>
    <row r="29" spans="1:9" x14ac:dyDescent="0.35">
      <c r="A29" s="1">
        <v>27</v>
      </c>
      <c r="B29" s="1" t="s">
        <v>19</v>
      </c>
      <c r="C29" s="1" t="s">
        <v>17</v>
      </c>
      <c r="D29" s="1" t="s">
        <v>14</v>
      </c>
      <c r="E29" s="1">
        <v>29</v>
      </c>
      <c r="F29" s="1">
        <v>37</v>
      </c>
      <c r="G29" s="1">
        <v>95</v>
      </c>
      <c r="H29" s="1">
        <f t="shared" si="0"/>
        <v>161</v>
      </c>
      <c r="I29" s="1">
        <f>H29*IF(D29="0.2 л",'Лист 2'!$B$3, IF('Исходная таблица'!D29="0.5 л",'Лист 2'!$B$4, IF('Исходная таблица'!D29="1.0 л",'Лист 2'!$B$5,'Лист 2'!$B$6)))</f>
        <v>835107</v>
      </c>
    </row>
    <row r="30" spans="1:9" x14ac:dyDescent="0.35">
      <c r="A30" s="1">
        <v>28</v>
      </c>
      <c r="B30" s="1" t="s">
        <v>19</v>
      </c>
      <c r="C30" s="1" t="s">
        <v>17</v>
      </c>
      <c r="D30" s="1" t="s">
        <v>15</v>
      </c>
      <c r="E30" s="1">
        <v>89</v>
      </c>
      <c r="F30" s="1">
        <v>20</v>
      </c>
      <c r="G30" s="1">
        <v>71</v>
      </c>
      <c r="H30" s="1">
        <f t="shared" si="0"/>
        <v>180</v>
      </c>
      <c r="I30" s="1">
        <f>H30*IF(D30="0.2 л",'Лист 2'!$B$3, IF('Исходная таблица'!D30="0.5 л",'Лист 2'!$B$4, IF('Исходная таблица'!D30="1.0 л",'Лист 2'!$B$5,'Лист 2'!$B$6)))</f>
        <v>1033560</v>
      </c>
    </row>
    <row r="31" spans="1:9" x14ac:dyDescent="0.35">
      <c r="A31" s="1">
        <v>29</v>
      </c>
      <c r="B31" s="1" t="s">
        <v>19</v>
      </c>
      <c r="C31" s="1" t="s">
        <v>18</v>
      </c>
      <c r="D31" s="1" t="s">
        <v>12</v>
      </c>
      <c r="E31" s="1">
        <v>4</v>
      </c>
      <c r="F31" s="1">
        <v>36</v>
      </c>
      <c r="G31" s="1">
        <v>18</v>
      </c>
      <c r="H31" s="1">
        <f t="shared" si="0"/>
        <v>58</v>
      </c>
      <c r="I31" s="1">
        <f>H31*IF(D31="0.2 л",'Лист 2'!$B$3, IF('Исходная таблица'!D31="0.5 л",'Лист 2'!$B$4, IF('Исходная таблица'!D31="1.0 л",'Лист 2'!$B$5,'Лист 2'!$B$6)))</f>
        <v>291102</v>
      </c>
    </row>
    <row r="32" spans="1:9" x14ac:dyDescent="0.35">
      <c r="A32" s="1">
        <v>30</v>
      </c>
      <c r="B32" s="1" t="s">
        <v>19</v>
      </c>
      <c r="C32" s="1" t="s">
        <v>18</v>
      </c>
      <c r="D32" s="1" t="s">
        <v>13</v>
      </c>
      <c r="E32" s="1">
        <v>17</v>
      </c>
      <c r="F32" s="1">
        <v>48</v>
      </c>
      <c r="G32" s="1">
        <v>7</v>
      </c>
      <c r="H32" s="1">
        <f t="shared" si="0"/>
        <v>72</v>
      </c>
      <c r="I32" s="1">
        <f>H32*IF(D32="0.2 л",'Лист 2'!$B$3, IF('Исходная таблица'!D32="0.5 л",'Лист 2'!$B$4, IF('Исходная таблица'!D32="1.0 л",'Лист 2'!$B$5,'Лист 2'!$B$6)))</f>
        <v>400176</v>
      </c>
    </row>
    <row r="33" spans="1:9" x14ac:dyDescent="0.35">
      <c r="A33" s="1">
        <v>31</v>
      </c>
      <c r="B33" s="1" t="s">
        <v>19</v>
      </c>
      <c r="C33" s="1" t="s">
        <v>18</v>
      </c>
      <c r="D33" s="1" t="s">
        <v>14</v>
      </c>
      <c r="E33" s="1">
        <v>44</v>
      </c>
      <c r="F33" s="1">
        <v>69</v>
      </c>
      <c r="G33" s="1">
        <v>95</v>
      </c>
      <c r="H33" s="1">
        <f t="shared" si="0"/>
        <v>208</v>
      </c>
      <c r="I33" s="1">
        <f>H33*IF(D33="0.2 л",'Лист 2'!$B$3, IF('Исходная таблица'!D33="0.5 л",'Лист 2'!$B$4, IF('Исходная таблица'!D33="1.0 л",'Лист 2'!$B$5,'Лист 2'!$B$6)))</f>
        <v>1078896</v>
      </c>
    </row>
    <row r="34" spans="1:9" x14ac:dyDescent="0.35">
      <c r="A34" s="1">
        <v>32</v>
      </c>
      <c r="B34" s="1" t="s">
        <v>19</v>
      </c>
      <c r="C34" s="1" t="s">
        <v>18</v>
      </c>
      <c r="D34" s="1" t="s">
        <v>15</v>
      </c>
      <c r="E34" s="1">
        <v>57</v>
      </c>
      <c r="F34" s="1">
        <v>56</v>
      </c>
      <c r="G34" s="1">
        <v>49</v>
      </c>
      <c r="H34" s="1">
        <f t="shared" si="0"/>
        <v>162</v>
      </c>
      <c r="I34" s="1">
        <f>H34*IF(D34="0.2 л",'Лист 2'!$B$3, IF('Исходная таблица'!D34="0.5 л",'Лист 2'!$B$4, IF('Исходная таблица'!D34="1.0 л",'Лист 2'!$B$5,'Лист 2'!$B$6)))</f>
        <v>930204</v>
      </c>
    </row>
    <row r="35" spans="1:9" x14ac:dyDescent="0.35">
      <c r="A35" s="1">
        <v>33</v>
      </c>
      <c r="B35" s="1" t="s">
        <v>20</v>
      </c>
      <c r="C35" s="1" t="s">
        <v>11</v>
      </c>
      <c r="D35" s="1" t="s">
        <v>12</v>
      </c>
      <c r="E35" s="1">
        <v>36</v>
      </c>
      <c r="F35" s="1">
        <v>80</v>
      </c>
      <c r="G35" s="1">
        <v>97</v>
      </c>
      <c r="H35" s="1">
        <f t="shared" ref="H35:H66" si="1">SUM(E35:G35)</f>
        <v>213</v>
      </c>
      <c r="I35" s="1">
        <f>H35*IF(D35="0.2 л",'Лист 2'!$B$3, IF('Исходная таблица'!D35="0.5 л",'Лист 2'!$B$4, IF('Исходная таблица'!D35="1.0 л",'Лист 2'!$B$5,'Лист 2'!$B$6)))</f>
        <v>1069047</v>
      </c>
    </row>
    <row r="36" spans="1:9" x14ac:dyDescent="0.35">
      <c r="A36" s="1">
        <v>34</v>
      </c>
      <c r="B36" s="1" t="s">
        <v>20</v>
      </c>
      <c r="C36" s="1" t="s">
        <v>11</v>
      </c>
      <c r="D36" s="1" t="s">
        <v>13</v>
      </c>
      <c r="E36" s="1">
        <v>9</v>
      </c>
      <c r="F36" s="1">
        <v>6</v>
      </c>
      <c r="G36" s="1">
        <v>7</v>
      </c>
      <c r="H36" s="1">
        <f t="shared" si="1"/>
        <v>22</v>
      </c>
      <c r="I36" s="1">
        <f>H36*IF(D36="0.2 л",'Лист 2'!$B$3, IF('Исходная таблица'!D36="0.5 л",'Лист 2'!$B$4, IF('Исходная таблица'!D36="1.0 л",'Лист 2'!$B$5,'Лист 2'!$B$6)))</f>
        <v>122276</v>
      </c>
    </row>
    <row r="37" spans="1:9" x14ac:dyDescent="0.35">
      <c r="A37" s="1">
        <v>35</v>
      </c>
      <c r="B37" s="1" t="s">
        <v>20</v>
      </c>
      <c r="C37" s="1" t="s">
        <v>11</v>
      </c>
      <c r="D37" s="1" t="s">
        <v>14</v>
      </c>
      <c r="E37" s="1">
        <v>35</v>
      </c>
      <c r="F37" s="1">
        <v>8</v>
      </c>
      <c r="G37" s="1">
        <v>54</v>
      </c>
      <c r="H37" s="1">
        <f t="shared" si="1"/>
        <v>97</v>
      </c>
      <c r="I37" s="1">
        <f>H37*IF(D37="0.2 л",'Лист 2'!$B$3, IF('Исходная таблица'!D37="0.5 л",'Лист 2'!$B$4, IF('Исходная таблица'!D37="1.0 л",'Лист 2'!$B$5,'Лист 2'!$B$6)))</f>
        <v>503139</v>
      </c>
    </row>
    <row r="38" spans="1:9" x14ac:dyDescent="0.35">
      <c r="A38" s="1">
        <v>36</v>
      </c>
      <c r="B38" s="1" t="s">
        <v>20</v>
      </c>
      <c r="C38" s="1" t="s">
        <v>11</v>
      </c>
      <c r="D38" s="1" t="s">
        <v>15</v>
      </c>
      <c r="E38" s="1">
        <v>41</v>
      </c>
      <c r="F38" s="1">
        <v>4</v>
      </c>
      <c r="G38" s="1">
        <v>32</v>
      </c>
      <c r="H38" s="1">
        <f t="shared" si="1"/>
        <v>77</v>
      </c>
      <c r="I38" s="1">
        <f>H38*IF(D38="0.2 л",'Лист 2'!$B$3, IF('Исходная таблица'!D38="0.5 л",'Лист 2'!$B$4, IF('Исходная таблица'!D38="1.0 л",'Лист 2'!$B$5,'Лист 2'!$B$6)))</f>
        <v>442134</v>
      </c>
    </row>
    <row r="39" spans="1:9" x14ac:dyDescent="0.35">
      <c r="A39" s="1">
        <v>37</v>
      </c>
      <c r="B39" s="1" t="s">
        <v>20</v>
      </c>
      <c r="C39" s="1" t="s">
        <v>16</v>
      </c>
      <c r="D39" s="1" t="s">
        <v>12</v>
      </c>
      <c r="E39" s="1">
        <v>77</v>
      </c>
      <c r="F39" s="1">
        <v>70</v>
      </c>
      <c r="G39" s="1">
        <v>43</v>
      </c>
      <c r="H39" s="1">
        <f t="shared" si="1"/>
        <v>190</v>
      </c>
      <c r="I39" s="1">
        <f>H39*IF(D39="0.2 л",'Лист 2'!$B$3, IF('Исходная таблица'!D39="0.5 л",'Лист 2'!$B$4, IF('Исходная таблица'!D39="1.0 л",'Лист 2'!$B$5,'Лист 2'!$B$6)))</f>
        <v>953610</v>
      </c>
    </row>
    <row r="40" spans="1:9" x14ac:dyDescent="0.35">
      <c r="A40" s="1">
        <v>38</v>
      </c>
      <c r="B40" s="1" t="s">
        <v>20</v>
      </c>
      <c r="C40" s="1" t="s">
        <v>16</v>
      </c>
      <c r="D40" s="1" t="s">
        <v>13</v>
      </c>
      <c r="E40" s="1">
        <v>95</v>
      </c>
      <c r="F40" s="1">
        <v>46</v>
      </c>
      <c r="G40" s="1">
        <v>89</v>
      </c>
      <c r="H40" s="1">
        <f t="shared" si="1"/>
        <v>230</v>
      </c>
      <c r="I40" s="1">
        <f>H40*IF(D40="0.2 л",'Лист 2'!$B$3, IF('Исходная таблица'!D40="0.5 л",'Лист 2'!$B$4, IF('Исходная таблица'!D40="1.0 л",'Лист 2'!$B$5,'Лист 2'!$B$6)))</f>
        <v>1278340</v>
      </c>
    </row>
    <row r="41" spans="1:9" x14ac:dyDescent="0.35">
      <c r="A41" s="1">
        <v>39</v>
      </c>
      <c r="B41" s="1" t="s">
        <v>20</v>
      </c>
      <c r="C41" s="1" t="s">
        <v>16</v>
      </c>
      <c r="D41" s="1" t="s">
        <v>14</v>
      </c>
      <c r="E41" s="1">
        <v>8</v>
      </c>
      <c r="F41" s="1">
        <v>58</v>
      </c>
      <c r="G41" s="1">
        <v>8</v>
      </c>
      <c r="H41" s="1">
        <f t="shared" si="1"/>
        <v>74</v>
      </c>
      <c r="I41" s="1">
        <f>H41*IF(D41="0.2 л",'Лист 2'!$B$3, IF('Исходная таблица'!D41="0.5 л",'Лист 2'!$B$4, IF('Исходная таблица'!D41="1.0 л",'Лист 2'!$B$5,'Лист 2'!$B$6)))</f>
        <v>383838</v>
      </c>
    </row>
    <row r="42" spans="1:9" x14ac:dyDescent="0.35">
      <c r="A42" s="1">
        <v>40</v>
      </c>
      <c r="B42" s="1" t="s">
        <v>20</v>
      </c>
      <c r="C42" s="1" t="s">
        <v>16</v>
      </c>
      <c r="D42" s="1" t="s">
        <v>15</v>
      </c>
      <c r="E42" s="1">
        <v>61</v>
      </c>
      <c r="F42" s="1">
        <v>7</v>
      </c>
      <c r="G42" s="1">
        <v>97</v>
      </c>
      <c r="H42" s="1">
        <f t="shared" si="1"/>
        <v>165</v>
      </c>
      <c r="I42" s="1">
        <f>H42*IF(D42="0.2 л",'Лист 2'!$B$3, IF('Исходная таблица'!D42="0.5 л",'Лист 2'!$B$4, IF('Исходная таблица'!D42="1.0 л",'Лист 2'!$B$5,'Лист 2'!$B$6)))</f>
        <v>947430</v>
      </c>
    </row>
    <row r="43" spans="1:9" x14ac:dyDescent="0.35">
      <c r="A43" s="1">
        <v>41</v>
      </c>
      <c r="B43" s="1" t="s">
        <v>20</v>
      </c>
      <c r="C43" s="1" t="s">
        <v>17</v>
      </c>
      <c r="D43" s="1" t="s">
        <v>12</v>
      </c>
      <c r="E43" s="1">
        <v>16</v>
      </c>
      <c r="F43" s="1">
        <v>40</v>
      </c>
      <c r="G43" s="1">
        <v>43</v>
      </c>
      <c r="H43" s="1">
        <f t="shared" si="1"/>
        <v>99</v>
      </c>
      <c r="I43" s="1">
        <f>H43*IF(D43="0.2 л",'Лист 2'!$B$3, IF('Исходная таблица'!D43="0.5 л",'Лист 2'!$B$4, IF('Исходная таблица'!D43="1.0 л",'Лист 2'!$B$5,'Лист 2'!$B$6)))</f>
        <v>496881</v>
      </c>
    </row>
    <row r="44" spans="1:9" x14ac:dyDescent="0.35">
      <c r="A44" s="1">
        <v>42</v>
      </c>
      <c r="B44" s="1" t="s">
        <v>20</v>
      </c>
      <c r="C44" s="1" t="s">
        <v>17</v>
      </c>
      <c r="D44" s="1" t="s">
        <v>13</v>
      </c>
      <c r="E44" s="1">
        <v>80</v>
      </c>
      <c r="F44" s="1">
        <v>41</v>
      </c>
      <c r="G44" s="1">
        <v>21</v>
      </c>
      <c r="H44" s="1">
        <f t="shared" si="1"/>
        <v>142</v>
      </c>
      <c r="I44" s="1">
        <f>H44*IF(D44="0.2 л",'Лист 2'!$B$3, IF('Исходная таблица'!D44="0.5 л",'Лист 2'!$B$4, IF('Исходная таблица'!D44="1.0 л",'Лист 2'!$B$5,'Лист 2'!$B$6)))</f>
        <v>789236</v>
      </c>
    </row>
    <row r="45" spans="1:9" x14ac:dyDescent="0.35">
      <c r="A45" s="1">
        <v>43</v>
      </c>
      <c r="B45" s="1" t="s">
        <v>20</v>
      </c>
      <c r="C45" s="1" t="s">
        <v>17</v>
      </c>
      <c r="D45" s="1" t="s">
        <v>14</v>
      </c>
      <c r="E45" s="1">
        <v>61</v>
      </c>
      <c r="F45" s="1">
        <v>51</v>
      </c>
      <c r="G45" s="1">
        <v>21</v>
      </c>
      <c r="H45" s="1">
        <f t="shared" si="1"/>
        <v>133</v>
      </c>
      <c r="I45" s="1">
        <f>H45*IF(D45="0.2 л",'Лист 2'!$B$3, IF('Исходная таблица'!D45="0.5 л",'Лист 2'!$B$4, IF('Исходная таблица'!D45="1.0 л",'Лист 2'!$B$5,'Лист 2'!$B$6)))</f>
        <v>689871</v>
      </c>
    </row>
    <row r="46" spans="1:9" x14ac:dyDescent="0.35">
      <c r="A46" s="1">
        <v>44</v>
      </c>
      <c r="B46" s="1" t="s">
        <v>20</v>
      </c>
      <c r="C46" s="1" t="s">
        <v>17</v>
      </c>
      <c r="D46" s="1" t="s">
        <v>15</v>
      </c>
      <c r="E46" s="1">
        <v>73</v>
      </c>
      <c r="F46" s="1">
        <v>93</v>
      </c>
      <c r="G46" s="1">
        <v>6</v>
      </c>
      <c r="H46" s="1">
        <f t="shared" si="1"/>
        <v>172</v>
      </c>
      <c r="I46" s="1">
        <f>H46*IF(D46="0.2 л",'Лист 2'!$B$3, IF('Исходная таблица'!D46="0.5 л",'Лист 2'!$B$4, IF('Исходная таблица'!D46="1.0 л",'Лист 2'!$B$5,'Лист 2'!$B$6)))</f>
        <v>987624</v>
      </c>
    </row>
    <row r="47" spans="1:9" x14ac:dyDescent="0.35">
      <c r="A47" s="1">
        <v>45</v>
      </c>
      <c r="B47" s="1" t="s">
        <v>20</v>
      </c>
      <c r="C47" s="1" t="s">
        <v>18</v>
      </c>
      <c r="D47" s="1" t="s">
        <v>12</v>
      </c>
      <c r="E47" s="1">
        <v>94</v>
      </c>
      <c r="F47" s="1">
        <v>56</v>
      </c>
      <c r="G47" s="1">
        <v>42</v>
      </c>
      <c r="H47" s="1">
        <f t="shared" si="1"/>
        <v>192</v>
      </c>
      <c r="I47" s="1">
        <f>H47*IF(D47="0.2 л",'Лист 2'!$B$3, IF('Исходная таблица'!D47="0.5 л",'Лист 2'!$B$4, IF('Исходная таблица'!D47="1.0 л",'Лист 2'!$B$5,'Лист 2'!$B$6)))</f>
        <v>963648</v>
      </c>
    </row>
    <row r="48" spans="1:9" x14ac:dyDescent="0.35">
      <c r="A48" s="1">
        <v>46</v>
      </c>
      <c r="B48" s="1" t="s">
        <v>20</v>
      </c>
      <c r="C48" s="1" t="s">
        <v>18</v>
      </c>
      <c r="D48" s="1" t="s">
        <v>13</v>
      </c>
      <c r="E48" s="1">
        <v>26</v>
      </c>
      <c r="F48" s="1">
        <v>57</v>
      </c>
      <c r="G48" s="1">
        <v>48</v>
      </c>
      <c r="H48" s="1">
        <f t="shared" si="1"/>
        <v>131</v>
      </c>
      <c r="I48" s="1">
        <f>H48*IF(D48="0.2 л",'Лист 2'!$B$3, IF('Исходная таблица'!D48="0.5 л",'Лист 2'!$B$4, IF('Исходная таблица'!D48="1.0 л",'Лист 2'!$B$5,'Лист 2'!$B$6)))</f>
        <v>728098</v>
      </c>
    </row>
    <row r="49" spans="1:9" x14ac:dyDescent="0.35">
      <c r="A49" s="1">
        <v>47</v>
      </c>
      <c r="B49" s="1" t="s">
        <v>20</v>
      </c>
      <c r="C49" s="1" t="s">
        <v>18</v>
      </c>
      <c r="D49" s="1" t="s">
        <v>14</v>
      </c>
      <c r="E49" s="1">
        <v>71</v>
      </c>
      <c r="F49" s="1">
        <v>10</v>
      </c>
      <c r="G49" s="1">
        <v>73</v>
      </c>
      <c r="H49" s="1">
        <f t="shared" si="1"/>
        <v>154</v>
      </c>
      <c r="I49" s="1">
        <f>H49*IF(D49="0.2 л",'Лист 2'!$B$3, IF('Исходная таблица'!D49="0.5 л",'Лист 2'!$B$4, IF('Исходная таблица'!D49="1.0 л",'Лист 2'!$B$5,'Лист 2'!$B$6)))</f>
        <v>798798</v>
      </c>
    </row>
    <row r="50" spans="1:9" x14ac:dyDescent="0.35">
      <c r="A50" s="1">
        <v>48</v>
      </c>
      <c r="B50" s="1" t="s">
        <v>20</v>
      </c>
      <c r="C50" s="1" t="s">
        <v>18</v>
      </c>
      <c r="D50" s="1" t="s">
        <v>15</v>
      </c>
      <c r="E50" s="1">
        <v>44</v>
      </c>
      <c r="F50" s="1">
        <v>56</v>
      </c>
      <c r="G50" s="1">
        <v>49</v>
      </c>
      <c r="H50" s="1">
        <f t="shared" si="1"/>
        <v>149</v>
      </c>
      <c r="I50" s="1">
        <f>H50*IF(D50="0.2 л",'Лист 2'!$B$3, IF('Исходная таблица'!D50="0.5 л",'Лист 2'!$B$4, IF('Исходная таблица'!D50="1.0 л",'Лист 2'!$B$5,'Лист 2'!$B$6)))</f>
        <v>855558</v>
      </c>
    </row>
    <row r="51" spans="1:9" x14ac:dyDescent="0.35">
      <c r="A51" s="1">
        <v>49</v>
      </c>
      <c r="B51" s="1" t="s">
        <v>21</v>
      </c>
      <c r="C51" s="1" t="s">
        <v>11</v>
      </c>
      <c r="D51" s="1" t="s">
        <v>12</v>
      </c>
      <c r="E51" s="1">
        <v>13</v>
      </c>
      <c r="F51" s="1">
        <v>85</v>
      </c>
      <c r="G51" s="1">
        <v>34</v>
      </c>
      <c r="H51" s="1">
        <f t="shared" si="1"/>
        <v>132</v>
      </c>
      <c r="I51" s="1">
        <f>H51*IF(D51="0.2 л",'Лист 2'!$B$3, IF('Исходная таблица'!D51="0.5 л",'Лист 2'!$B$4, IF('Исходная таблица'!D51="1.0 л",'Лист 2'!$B$5,'Лист 2'!$B$6)))</f>
        <v>662508</v>
      </c>
    </row>
    <row r="52" spans="1:9" x14ac:dyDescent="0.35">
      <c r="A52" s="1">
        <v>50</v>
      </c>
      <c r="B52" s="1" t="s">
        <v>21</v>
      </c>
      <c r="C52" s="1" t="s">
        <v>11</v>
      </c>
      <c r="D52" s="1" t="s">
        <v>13</v>
      </c>
      <c r="E52" s="1">
        <v>12</v>
      </c>
      <c r="F52" s="1">
        <v>28</v>
      </c>
      <c r="G52" s="1">
        <v>38</v>
      </c>
      <c r="H52" s="1">
        <f t="shared" si="1"/>
        <v>78</v>
      </c>
      <c r="I52" s="1">
        <f>H52*IF(D52="0.2 л",'Лист 2'!$B$3, IF('Исходная таблица'!D52="0.5 л",'Лист 2'!$B$4, IF('Исходная таблица'!D52="1.0 л",'Лист 2'!$B$5,'Лист 2'!$B$6)))</f>
        <v>433524</v>
      </c>
    </row>
    <row r="53" spans="1:9" x14ac:dyDescent="0.35">
      <c r="A53" s="1">
        <v>51</v>
      </c>
      <c r="B53" s="1" t="s">
        <v>21</v>
      </c>
      <c r="C53" s="1" t="s">
        <v>11</v>
      </c>
      <c r="D53" s="1" t="s">
        <v>14</v>
      </c>
      <c r="E53" s="1">
        <v>57</v>
      </c>
      <c r="F53" s="1">
        <v>1</v>
      </c>
      <c r="G53" s="1">
        <v>19</v>
      </c>
      <c r="H53" s="1">
        <f t="shared" si="1"/>
        <v>77</v>
      </c>
      <c r="I53" s="1">
        <f>H53*IF(D53="0.2 л",'Лист 2'!$B$3, IF('Исходная таблица'!D53="0.5 л",'Лист 2'!$B$4, IF('Исходная таблица'!D53="1.0 л",'Лист 2'!$B$5,'Лист 2'!$B$6)))</f>
        <v>399399</v>
      </c>
    </row>
    <row r="54" spans="1:9" x14ac:dyDescent="0.35">
      <c r="A54" s="1">
        <v>52</v>
      </c>
      <c r="B54" s="1" t="s">
        <v>21</v>
      </c>
      <c r="C54" s="1" t="s">
        <v>11</v>
      </c>
      <c r="D54" s="1" t="s">
        <v>15</v>
      </c>
      <c r="E54" s="1">
        <v>69</v>
      </c>
      <c r="F54" s="1">
        <v>87</v>
      </c>
      <c r="G54" s="1">
        <v>14</v>
      </c>
      <c r="H54" s="1">
        <f t="shared" si="1"/>
        <v>170</v>
      </c>
      <c r="I54" s="1">
        <f>H54*IF(D54="0.2 л",'Лист 2'!$B$3, IF('Исходная таблица'!D54="0.5 л",'Лист 2'!$B$4, IF('Исходная таблица'!D54="1.0 л",'Лист 2'!$B$5,'Лист 2'!$B$6)))</f>
        <v>976140</v>
      </c>
    </row>
    <row r="55" spans="1:9" x14ac:dyDescent="0.35">
      <c r="A55" s="1">
        <v>53</v>
      </c>
      <c r="B55" s="1" t="s">
        <v>21</v>
      </c>
      <c r="C55" s="1" t="s">
        <v>16</v>
      </c>
      <c r="D55" s="1" t="s">
        <v>12</v>
      </c>
      <c r="E55" s="1">
        <v>7</v>
      </c>
      <c r="F55" s="1">
        <v>20</v>
      </c>
      <c r="G55" s="1">
        <v>3</v>
      </c>
      <c r="H55" s="1">
        <f t="shared" si="1"/>
        <v>30</v>
      </c>
      <c r="I55" s="1">
        <f>H55*IF(D55="0.2 л",'Лист 2'!$B$3, IF('Исходная таблица'!D55="0.5 л",'Лист 2'!$B$4, IF('Исходная таблица'!D55="1.0 л",'Лист 2'!$B$5,'Лист 2'!$B$6)))</f>
        <v>150570</v>
      </c>
    </row>
    <row r="56" spans="1:9" x14ac:dyDescent="0.35">
      <c r="A56" s="1">
        <v>54</v>
      </c>
      <c r="B56" s="1" t="s">
        <v>21</v>
      </c>
      <c r="C56" s="1" t="s">
        <v>16</v>
      </c>
      <c r="D56" s="1" t="s">
        <v>13</v>
      </c>
      <c r="E56" s="1">
        <v>40</v>
      </c>
      <c r="F56" s="1">
        <v>60</v>
      </c>
      <c r="G56" s="1">
        <v>70</v>
      </c>
      <c r="H56" s="1">
        <f t="shared" si="1"/>
        <v>170</v>
      </c>
      <c r="I56" s="1">
        <f>H56*IF(D56="0.2 л",'Лист 2'!$B$3, IF('Исходная таблица'!D56="0.5 л",'Лист 2'!$B$4, IF('Исходная таблица'!D56="1.0 л",'Лист 2'!$B$5,'Лист 2'!$B$6)))</f>
        <v>944860</v>
      </c>
    </row>
    <row r="57" spans="1:9" x14ac:dyDescent="0.35">
      <c r="A57" s="1">
        <v>55</v>
      </c>
      <c r="B57" s="1" t="s">
        <v>21</v>
      </c>
      <c r="C57" s="1" t="s">
        <v>16</v>
      </c>
      <c r="D57" s="1" t="s">
        <v>14</v>
      </c>
      <c r="E57" s="1">
        <v>53</v>
      </c>
      <c r="F57" s="1">
        <v>44</v>
      </c>
      <c r="G57" s="1">
        <v>47</v>
      </c>
      <c r="H57" s="1">
        <f t="shared" si="1"/>
        <v>144</v>
      </c>
      <c r="I57" s="1">
        <f>H57*IF(D57="0.2 л",'Лист 2'!$B$3, IF('Исходная таблица'!D57="0.5 л",'Лист 2'!$B$4, IF('Исходная таблица'!D57="1.0 л",'Лист 2'!$B$5,'Лист 2'!$B$6)))</f>
        <v>746928</v>
      </c>
    </row>
    <row r="58" spans="1:9" x14ac:dyDescent="0.35">
      <c r="A58" s="1">
        <v>56</v>
      </c>
      <c r="B58" s="1" t="s">
        <v>21</v>
      </c>
      <c r="C58" s="1" t="s">
        <v>16</v>
      </c>
      <c r="D58" s="1" t="s">
        <v>15</v>
      </c>
      <c r="E58" s="1">
        <v>88</v>
      </c>
      <c r="F58" s="1">
        <v>23</v>
      </c>
      <c r="G58" s="1">
        <v>9</v>
      </c>
      <c r="H58" s="1">
        <f t="shared" si="1"/>
        <v>120</v>
      </c>
      <c r="I58" s="1">
        <f>H58*IF(D58="0.2 л",'Лист 2'!$B$3, IF('Исходная таблица'!D58="0.5 л",'Лист 2'!$B$4, IF('Исходная таблица'!D58="1.0 л",'Лист 2'!$B$5,'Лист 2'!$B$6)))</f>
        <v>689040</v>
      </c>
    </row>
    <row r="59" spans="1:9" x14ac:dyDescent="0.35">
      <c r="A59" s="1">
        <v>57</v>
      </c>
      <c r="B59" s="1" t="s">
        <v>21</v>
      </c>
      <c r="C59" s="1" t="s">
        <v>17</v>
      </c>
      <c r="D59" s="1" t="s">
        <v>12</v>
      </c>
      <c r="E59" s="1">
        <v>84</v>
      </c>
      <c r="F59" s="1">
        <v>77</v>
      </c>
      <c r="G59" s="1">
        <v>13</v>
      </c>
      <c r="H59" s="1">
        <f t="shared" si="1"/>
        <v>174</v>
      </c>
      <c r="I59" s="1">
        <f>H59*IF(D59="0.2 л",'Лист 2'!$B$3, IF('Исходная таблица'!D59="0.5 л",'Лист 2'!$B$4, IF('Исходная таблица'!D59="1.0 л",'Лист 2'!$B$5,'Лист 2'!$B$6)))</f>
        <v>873306</v>
      </c>
    </row>
    <row r="60" spans="1:9" x14ac:dyDescent="0.35">
      <c r="A60" s="1">
        <v>58</v>
      </c>
      <c r="B60" s="1" t="s">
        <v>21</v>
      </c>
      <c r="C60" s="1" t="s">
        <v>17</v>
      </c>
      <c r="D60" s="1" t="s">
        <v>13</v>
      </c>
      <c r="E60" s="1">
        <v>87</v>
      </c>
      <c r="F60" s="1">
        <v>72</v>
      </c>
      <c r="G60" s="1">
        <v>42</v>
      </c>
      <c r="H60" s="1">
        <f t="shared" si="1"/>
        <v>201</v>
      </c>
      <c r="I60" s="1">
        <f>H60*IF(D60="0.2 л",'Лист 2'!$B$3, IF('Исходная таблица'!D60="0.5 л",'Лист 2'!$B$4, IF('Исходная таблица'!D60="1.0 л",'Лист 2'!$B$5,'Лист 2'!$B$6)))</f>
        <v>1117158</v>
      </c>
    </row>
    <row r="61" spans="1:9" x14ac:dyDescent="0.35">
      <c r="A61" s="1">
        <v>59</v>
      </c>
      <c r="B61" s="1" t="s">
        <v>21</v>
      </c>
      <c r="C61" s="1" t="s">
        <v>17</v>
      </c>
      <c r="D61" s="1" t="s">
        <v>14</v>
      </c>
      <c r="E61" s="1">
        <v>29</v>
      </c>
      <c r="F61" s="1">
        <v>97</v>
      </c>
      <c r="G61" s="1">
        <v>39</v>
      </c>
      <c r="H61" s="1">
        <f t="shared" si="1"/>
        <v>165</v>
      </c>
      <c r="I61" s="1">
        <f>H61*IF(D61="0.2 л",'Лист 2'!$B$3, IF('Исходная таблица'!D61="0.5 л",'Лист 2'!$B$4, IF('Исходная таблица'!D61="1.0 л",'Лист 2'!$B$5,'Лист 2'!$B$6)))</f>
        <v>855855</v>
      </c>
    </row>
    <row r="62" spans="1:9" x14ac:dyDescent="0.35">
      <c r="A62" s="1">
        <v>60</v>
      </c>
      <c r="B62" s="1" t="s">
        <v>21</v>
      </c>
      <c r="C62" s="1" t="s">
        <v>17</v>
      </c>
      <c r="D62" s="1" t="s">
        <v>15</v>
      </c>
      <c r="E62" s="1">
        <v>98</v>
      </c>
      <c r="F62" s="1">
        <v>73</v>
      </c>
      <c r="G62" s="1">
        <v>93</v>
      </c>
      <c r="H62" s="1">
        <f t="shared" si="1"/>
        <v>264</v>
      </c>
      <c r="I62" s="1">
        <f>H62*IF(D62="0.2 л",'Лист 2'!$B$3, IF('Исходная таблица'!D62="0.5 л",'Лист 2'!$B$4, IF('Исходная таблица'!D62="1.0 л",'Лист 2'!$B$5,'Лист 2'!$B$6)))</f>
        <v>1515888</v>
      </c>
    </row>
    <row r="63" spans="1:9" x14ac:dyDescent="0.35">
      <c r="A63" s="1">
        <v>61</v>
      </c>
      <c r="B63" s="1" t="s">
        <v>21</v>
      </c>
      <c r="C63" s="1" t="s">
        <v>18</v>
      </c>
      <c r="D63" s="1" t="s">
        <v>12</v>
      </c>
      <c r="E63" s="1">
        <v>32</v>
      </c>
      <c r="F63" s="1">
        <v>73</v>
      </c>
      <c r="G63" s="1">
        <v>47</v>
      </c>
      <c r="H63" s="1">
        <f t="shared" si="1"/>
        <v>152</v>
      </c>
      <c r="I63" s="1">
        <f>H63*IF(D63="0.2 л",'Лист 2'!$B$3, IF('Исходная таблица'!D63="0.5 л",'Лист 2'!$B$4, IF('Исходная таблица'!D63="1.0 л",'Лист 2'!$B$5,'Лист 2'!$B$6)))</f>
        <v>762888</v>
      </c>
    </row>
    <row r="64" spans="1:9" x14ac:dyDescent="0.35">
      <c r="A64" s="1">
        <v>62</v>
      </c>
      <c r="B64" s="1" t="s">
        <v>21</v>
      </c>
      <c r="C64" s="1" t="s">
        <v>18</v>
      </c>
      <c r="D64" s="1" t="s">
        <v>13</v>
      </c>
      <c r="E64" s="1">
        <v>2</v>
      </c>
      <c r="F64" s="1">
        <v>79</v>
      </c>
      <c r="G64" s="1">
        <v>54</v>
      </c>
      <c r="H64" s="1">
        <f t="shared" si="1"/>
        <v>135</v>
      </c>
      <c r="I64" s="1">
        <f>H64*IF(D64="0.2 л",'Лист 2'!$B$3, IF('Исходная таблица'!D64="0.5 л",'Лист 2'!$B$4, IF('Исходная таблица'!D64="1.0 л",'Лист 2'!$B$5,'Лист 2'!$B$6)))</f>
        <v>750330</v>
      </c>
    </row>
    <row r="65" spans="1:9" x14ac:dyDescent="0.35">
      <c r="A65" s="1">
        <v>63</v>
      </c>
      <c r="B65" s="1" t="s">
        <v>21</v>
      </c>
      <c r="C65" s="1" t="s">
        <v>18</v>
      </c>
      <c r="D65" s="1" t="s">
        <v>14</v>
      </c>
      <c r="E65" s="1">
        <v>13</v>
      </c>
      <c r="F65" s="1">
        <v>25</v>
      </c>
      <c r="G65" s="1">
        <v>11</v>
      </c>
      <c r="H65" s="1">
        <f t="shared" si="1"/>
        <v>49</v>
      </c>
      <c r="I65" s="1">
        <f>H65*IF(D65="0.2 л",'Лист 2'!$B$3, IF('Исходная таблица'!D65="0.5 л",'Лист 2'!$B$4, IF('Исходная таблица'!D65="1.0 л",'Лист 2'!$B$5,'Лист 2'!$B$6)))</f>
        <v>254163</v>
      </c>
    </row>
    <row r="66" spans="1:9" x14ac:dyDescent="0.35">
      <c r="A66" s="1">
        <v>64</v>
      </c>
      <c r="B66" s="1" t="s">
        <v>21</v>
      </c>
      <c r="C66" s="1" t="s">
        <v>18</v>
      </c>
      <c r="D66" s="1" t="s">
        <v>15</v>
      </c>
      <c r="E66" s="1">
        <v>28</v>
      </c>
      <c r="F66" s="1">
        <v>32</v>
      </c>
      <c r="G66" s="1">
        <v>8</v>
      </c>
      <c r="H66" s="1">
        <f t="shared" si="1"/>
        <v>68</v>
      </c>
      <c r="I66" s="1">
        <f>H66*IF(D66="0.2 л",'Лист 2'!$B$3, IF('Исходная таблица'!D66="0.5 л",'Лист 2'!$B$4, IF('Исходная таблица'!D66="1.0 л",'Лист 2'!$B$5,'Лист 2'!$B$6)))</f>
        <v>390456</v>
      </c>
    </row>
  </sheetData>
  <mergeCells count="1">
    <mergeCell ref="A1:I1"/>
  </mergeCell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Header>&amp;CСафронов Иван Евгеньевич, БЭН-25-1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D13"/>
  <sheetViews>
    <sheetView workbookViewId="0">
      <selection activeCell="D13" sqref="D13"/>
    </sheetView>
  </sheetViews>
  <sheetFormatPr defaultRowHeight="14.5" x14ac:dyDescent="0.35"/>
  <sheetData>
    <row r="1" spans="1:4" x14ac:dyDescent="0.35">
      <c r="A1" s="5" t="s">
        <v>22</v>
      </c>
      <c r="B1" s="5"/>
    </row>
    <row r="2" spans="1:4" x14ac:dyDescent="0.35">
      <c r="A2" s="2" t="s">
        <v>4</v>
      </c>
      <c r="B2" s="2" t="s">
        <v>23</v>
      </c>
    </row>
    <row r="3" spans="1:4" x14ac:dyDescent="0.35">
      <c r="A3" s="2" t="s">
        <v>12</v>
      </c>
      <c r="B3" s="2">
        <v>5019</v>
      </c>
    </row>
    <row r="4" spans="1:4" x14ac:dyDescent="0.35">
      <c r="A4" s="2" t="s">
        <v>13</v>
      </c>
      <c r="B4" s="2">
        <v>5558</v>
      </c>
    </row>
    <row r="5" spans="1:4" x14ac:dyDescent="0.35">
      <c r="A5" s="2" t="s">
        <v>14</v>
      </c>
      <c r="B5" s="2">
        <v>5187</v>
      </c>
    </row>
    <row r="6" spans="1:4" x14ac:dyDescent="0.35">
      <c r="A6" s="2" t="s">
        <v>15</v>
      </c>
      <c r="B6" s="2">
        <v>5742</v>
      </c>
    </row>
    <row r="8" spans="1:4" x14ac:dyDescent="0.35">
      <c r="A8" s="5" t="s">
        <v>24</v>
      </c>
      <c r="B8" s="5"/>
      <c r="C8" s="5"/>
      <c r="D8" s="5"/>
    </row>
    <row r="9" spans="1:4" x14ac:dyDescent="0.35">
      <c r="A9" s="2" t="s">
        <v>25</v>
      </c>
      <c r="B9" s="2" t="s">
        <v>5</v>
      </c>
      <c r="C9" s="2" t="s">
        <v>6</v>
      </c>
      <c r="D9" s="2" t="s">
        <v>7</v>
      </c>
    </row>
    <row r="10" spans="1:4" x14ac:dyDescent="0.35">
      <c r="A10" s="2" t="s">
        <v>26</v>
      </c>
      <c r="B10" s="2">
        <f>SUM('Исходная таблица'!E3:E66)</f>
        <v>3135</v>
      </c>
      <c r="C10" s="2">
        <f>SUM('Исходная таблица'!F3:F66)</f>
        <v>3378</v>
      </c>
      <c r="D10" s="2">
        <f>SUM('Исходная таблица'!G3:G66)</f>
        <v>2870</v>
      </c>
    </row>
    <row r="11" spans="1:4" x14ac:dyDescent="0.35">
      <c r="A11" s="3" t="s">
        <v>27</v>
      </c>
      <c r="B11" s="3">
        <f>AVERAGE('Исходная таблица'!E3:E66)</f>
        <v>48.984375</v>
      </c>
      <c r="C11" s="3">
        <f>AVERAGE('Исходная таблица'!F3:F66)</f>
        <v>52.78125</v>
      </c>
      <c r="D11" s="3">
        <f>AVERAGE('Исходная таблица'!G3:G66)</f>
        <v>44.84375</v>
      </c>
    </row>
    <row r="12" spans="1:4" x14ac:dyDescent="0.35">
      <c r="A12" s="2" t="s">
        <v>28</v>
      </c>
      <c r="B12" s="2">
        <f>MIN('Исходная таблица'!E3:E66)</f>
        <v>2</v>
      </c>
      <c r="C12" s="2">
        <f>MIN('Исходная таблица'!F3:F66)</f>
        <v>1</v>
      </c>
      <c r="D12" s="2">
        <f>MIN('Исходная таблица'!G3:G66)</f>
        <v>2</v>
      </c>
    </row>
    <row r="13" spans="1:4" x14ac:dyDescent="0.35">
      <c r="A13" s="2" t="s">
        <v>29</v>
      </c>
      <c r="B13" s="2">
        <f>MAX('Исходная таблица'!E3:E66)</f>
        <v>99</v>
      </c>
      <c r="C13" s="2">
        <f>MAX('Исходная таблица'!F3:F66)</f>
        <v>97</v>
      </c>
      <c r="D13" s="2">
        <f>MAX('Исходная таблица'!G3:G66)</f>
        <v>97</v>
      </c>
    </row>
  </sheetData>
  <mergeCells count="2">
    <mergeCell ref="A8:D8"/>
    <mergeCell ref="A1:B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Исходная таблица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Сафронов Иван</cp:lastModifiedBy>
  <cp:lastPrinted>2026-02-20T06:49:19Z</cp:lastPrinted>
  <dcterms:created xsi:type="dcterms:W3CDTF">2026-02-13T12:09:05Z</dcterms:created>
  <dcterms:modified xsi:type="dcterms:W3CDTF">2026-02-20T06:55:56Z</dcterms:modified>
</cp:coreProperties>
</file>